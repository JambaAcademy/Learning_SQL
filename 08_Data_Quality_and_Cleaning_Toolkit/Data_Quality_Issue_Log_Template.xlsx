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 Header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Issue Categor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Log Title</t>
        </is>
      </c>
      <c r="B2" s="2" t="inlineStr">
        <is>
          <t>Data Quality Issue Log — SQL Audit Tracker</t>
        </is>
      </c>
    </row>
    <row r="3">
      <c r="A3" s="2" t="inlineStr">
        <is>
          <t>Reference Chapters</t>
        </is>
      </c>
      <c r="B3" s="2" t="inlineStr">
        <is>
          <t>Chapter 10 &amp; Chapter 14: Data Quality and Cleaning in SQL</t>
        </is>
      </c>
    </row>
    <row r="4">
      <c r="A4" s="2" t="inlineStr">
        <is>
          <t>Auditor Name</t>
        </is>
      </c>
      <c r="B4" s="2" t="inlineStr"/>
    </row>
    <row r="5">
      <c r="A5" s="2" t="inlineStr">
        <is>
          <t>Database / Schema</t>
        </is>
      </c>
      <c r="B5" s="2" t="inlineStr"/>
    </row>
    <row r="6">
      <c r="A6" s="2" t="inlineStr">
        <is>
          <t>Audit Start Date</t>
        </is>
      </c>
      <c r="B6" s="2" t="inlineStr"/>
    </row>
    <row r="7">
      <c r="A7" s="2" t="inlineStr">
        <is>
          <t>Audit Completion Date</t>
        </is>
      </c>
      <c r="B7" s="2" t="inlineStr"/>
    </row>
    <row r="8">
      <c r="A8" s="2" t="inlineStr">
        <is>
          <t>Total Issues Logged</t>
        </is>
      </c>
      <c r="B8" s="2">
        <f>COUNTA(IssueLog[Issue_ID])</f>
        <v/>
      </c>
    </row>
    <row r="9">
      <c r="A9" s="2" t="inlineStr">
        <is>
          <t>Critical Issues (Severity = High)</t>
        </is>
      </c>
      <c r="B9" s="2">
        <f>COUNTIF(IssueLog[Severity],"High")</f>
        <v/>
      </c>
    </row>
    <row r="10">
      <c r="A10" s="2" t="inlineStr">
        <is>
          <t>Issues Resolved</t>
        </is>
      </c>
      <c r="B10" s="2">
        <f>COUNTIF(IssueLog[Status],"Resolved")</f>
        <v/>
      </c>
    </row>
    <row r="11">
      <c r="A11" s="2" t="inlineStr">
        <is>
          <t>Issues Pending</t>
        </is>
      </c>
      <c r="B11" s="2">
        <f>COUNTIF(IssueLog[Status],"Open")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  <col width="30" customWidth="1" min="5" max="5"/>
    <col width="54" customWidth="1" min="6" max="6"/>
    <col width="47" customWidth="1" min="7" max="7"/>
    <col width="22" customWidth="1" min="8" max="8"/>
    <col width="19" customWidth="1" min="9" max="9"/>
    <col width="21" customWidth="1" min="10" max="10"/>
    <col width="12" customWidth="1" min="11" max="11"/>
    <col width="60" customWidth="1" min="12" max="12"/>
    <col width="60" customWidth="1" min="13" max="13"/>
    <col width="20" customWidth="1" min="14" max="14"/>
    <col width="12" customWidth="1" min="15" max="15"/>
    <col width="15" customWidth="1" min="16" max="16"/>
  </cols>
  <sheetData>
    <row r="1">
      <c r="A1" s="1" t="inlineStr">
        <is>
          <t>Issue_ID</t>
        </is>
      </c>
      <c r="B1" s="1" t="inlineStr">
        <is>
          <t>Discovery Date</t>
        </is>
      </c>
      <c r="C1" s="1" t="inlineStr">
        <is>
          <t>Table Name</t>
        </is>
      </c>
      <c r="D1" s="1" t="inlineStr">
        <is>
          <t>Column Name</t>
        </is>
      </c>
      <c r="E1" s="1" t="inlineStr">
        <is>
          <t>Issue Category</t>
        </is>
      </c>
      <c r="F1" s="1" t="inlineStr">
        <is>
          <t>Issue Sub-Type</t>
        </is>
      </c>
      <c r="G1" s="1" t="inlineStr">
        <is>
          <t>Sample Bad Value</t>
        </is>
      </c>
      <c r="H1" s="1" t="inlineStr">
        <is>
          <t>Affected Row Count</t>
        </is>
      </c>
      <c r="I1" s="1" t="inlineStr">
        <is>
          <t>Total Row Count</t>
        </is>
      </c>
      <c r="J1" s="1" t="inlineStr">
        <is>
          <t>Pct Affected</t>
        </is>
      </c>
      <c r="K1" s="1" t="inlineStr">
        <is>
          <t>Severity</t>
        </is>
      </c>
      <c r="L1" s="1" t="inlineStr">
        <is>
          <t>Detection Query Reference</t>
        </is>
      </c>
      <c r="M1" s="1" t="inlineStr">
        <is>
          <t>Recommended SQL Fix</t>
        </is>
      </c>
      <c r="N1" s="1" t="inlineStr">
        <is>
          <t>Fix Applied Date</t>
        </is>
      </c>
      <c r="O1" s="1" t="inlineStr">
        <is>
          <t>Status</t>
        </is>
      </c>
      <c r="P1" s="1" t="inlineStr">
        <is>
          <t>Verified By</t>
        </is>
      </c>
    </row>
    <row r="2">
      <c r="A2" s="2" t="inlineStr">
        <is>
          <t>DQ-001</t>
        </is>
      </c>
      <c r="B2" s="2" t="inlineStr">
        <is>
          <t>2024-03-01</t>
        </is>
      </c>
      <c r="C2" s="2" t="inlineStr">
        <is>
          <t>customers</t>
        </is>
      </c>
      <c r="D2" s="2" t="inlineStr">
        <is>
          <t>email</t>
        </is>
      </c>
      <c r="E2" s="2" t="inlineStr">
        <is>
          <t>NULL / Blank</t>
        </is>
      </c>
      <c r="F2" s="2" t="inlineStr">
        <is>
          <t>NULL value</t>
        </is>
      </c>
      <c r="G2" s="2" t="inlineStr">
        <is>
          <t>NULL</t>
        </is>
      </c>
      <c r="H2" s="2" t="inlineStr">
        <is>
          <t>412</t>
        </is>
      </c>
      <c r="I2" s="2" t="inlineStr">
        <is>
          <t>18500</t>
        </is>
      </c>
      <c r="J2" s="2">
        <f>C6/D6 → 2.23%</f>
        <v/>
      </c>
      <c r="K2" s="2" t="inlineStr">
        <is>
          <t>High</t>
        </is>
      </c>
      <c r="L2" s="2" t="inlineStr">
        <is>
          <t>SELECT COUNT(*) FROM customers WHERE email IS NULL;</t>
        </is>
      </c>
      <c r="M2" s="2" t="inlineStr">
        <is>
          <t>UPDATE customers SET email = 'unknown@placeholder.com' WHERE email IS NULL;</t>
        </is>
      </c>
      <c r="N2" s="2" t="inlineStr">
        <is>
          <t>2024-03-04</t>
        </is>
      </c>
      <c r="O2" s="2" t="inlineStr">
        <is>
          <t>Resolved</t>
        </is>
      </c>
      <c r="P2" s="2" t="inlineStr">
        <is>
          <t>J. Okafor</t>
        </is>
      </c>
    </row>
    <row r="3">
      <c r="A3" s="2" t="inlineStr">
        <is>
          <t>DQ-002</t>
        </is>
      </c>
      <c r="B3" s="2" t="inlineStr">
        <is>
          <t>2024-03-01</t>
        </is>
      </c>
      <c r="C3" s="2" t="inlineStr">
        <is>
          <t>customers</t>
        </is>
      </c>
      <c r="D3" s="2" t="inlineStr">
        <is>
          <t>phone</t>
        </is>
      </c>
      <c r="E3" s="2" t="inlineStr">
        <is>
          <t>NULL / Blank</t>
        </is>
      </c>
      <c r="F3" s="2" t="inlineStr">
        <is>
          <t>Empty string placeholder</t>
        </is>
      </c>
      <c r="G3" s="2" t="inlineStr">
        <is>
          <t>''</t>
        </is>
      </c>
      <c r="H3" s="2" t="inlineStr">
        <is>
          <t>87</t>
        </is>
      </c>
      <c r="I3" s="2" t="inlineStr">
        <is>
          <t>18500</t>
        </is>
      </c>
      <c r="J3" s="2">
        <f>C7/D7 → 0.47%</f>
        <v/>
      </c>
      <c r="K3" s="2" t="inlineStr">
        <is>
          <t>Medium</t>
        </is>
      </c>
      <c r="L3" s="2" t="inlineStr">
        <is>
          <t>SELECT COUNT(*) FROM customers WHERE TRIM(phone) = '';</t>
        </is>
      </c>
      <c r="M3" s="2" t="inlineStr">
        <is>
          <t>UPDATE customers SET phone = NULL WHERE TRIM(phone) = '';</t>
        </is>
      </c>
      <c r="N3" s="2" t="inlineStr">
        <is>
          <t>2024-03-05</t>
        </is>
      </c>
      <c r="O3" s="2" t="inlineStr">
        <is>
          <t>Resolved</t>
        </is>
      </c>
      <c r="P3" s="2" t="inlineStr">
        <is>
          <t>J. Okafor</t>
        </is>
      </c>
    </row>
    <row r="4">
      <c r="A4" s="2" t="inlineStr">
        <is>
          <t>DQ-003</t>
        </is>
      </c>
      <c r="B4" s="2" t="inlineStr">
        <is>
          <t>2024-03-02</t>
        </is>
      </c>
      <c r="C4" s="2" t="inlineStr">
        <is>
          <t>orders</t>
        </is>
      </c>
      <c r="D4" s="2" t="inlineStr">
        <is>
          <t>customer_id</t>
        </is>
      </c>
      <c r="E4" s="2" t="inlineStr">
        <is>
          <t>Referential Integrity</t>
        </is>
      </c>
      <c r="F4" s="2" t="inlineStr">
        <is>
          <t>Orphaned foreign key</t>
        </is>
      </c>
      <c r="G4" s="2" t="inlineStr">
        <is>
          <t>99871</t>
        </is>
      </c>
      <c r="H4" s="2" t="inlineStr">
        <is>
          <t>34</t>
        </is>
      </c>
      <c r="I4" s="2" t="inlineStr">
        <is>
          <t>52300</t>
        </is>
      </c>
      <c r="J4" s="2">
        <f>C8/D8 → 0.06%</f>
        <v/>
      </c>
      <c r="K4" s="2" t="inlineStr">
        <is>
          <t>High</t>
        </is>
      </c>
      <c r="L4" s="2" t="inlineStr">
        <is>
          <t>SELECT o.customer_id FROM orders o LEFT JOIN customers c ON o.customer_id = c.id WHERE c.id IS NULL;</t>
        </is>
      </c>
      <c r="M4" s="2" t="inlineStr">
        <is>
          <t>Investigate source; delete or reassign orphaned order rows after business sign-off</t>
        </is>
      </c>
      <c r="N4" s="2" t="inlineStr"/>
      <c r="O4" s="2" t="inlineStr">
        <is>
          <t>Open</t>
        </is>
      </c>
      <c r="P4" s="2" t="inlineStr"/>
    </row>
    <row r="5">
      <c r="A5" s="2" t="inlineStr">
        <is>
          <t>DQ-004</t>
        </is>
      </c>
      <c r="B5" s="2" t="inlineStr">
        <is>
          <t>2024-03-02</t>
        </is>
      </c>
      <c r="C5" s="2" t="inlineStr">
        <is>
          <t>orders</t>
        </is>
      </c>
      <c r="D5" s="2" t="inlineStr">
        <is>
          <t>order_date</t>
        </is>
      </c>
      <c r="E5" s="2" t="inlineStr">
        <is>
          <t>Impossible Value</t>
        </is>
      </c>
      <c r="F5" s="2" t="inlineStr">
        <is>
          <t>Future date beyond today</t>
        </is>
      </c>
      <c r="G5" s="2" t="inlineStr">
        <is>
          <t>2031-07-15</t>
        </is>
      </c>
      <c r="H5" s="2" t="inlineStr">
        <is>
          <t>9</t>
        </is>
      </c>
      <c r="I5" s="2" t="inlineStr">
        <is>
          <t>52300</t>
        </is>
      </c>
      <c r="J5" s="2">
        <f>C9/D9 → 0.02%</f>
        <v/>
      </c>
      <c r="K5" s="2" t="inlineStr">
        <is>
          <t>High</t>
        </is>
      </c>
      <c r="L5" s="2" t="inlineStr">
        <is>
          <t>SELECT * FROM orders WHERE order_date &gt; CURRENT_DATE;</t>
        </is>
      </c>
      <c r="M5" s="2" t="inlineStr">
        <is>
          <t>DELETE FROM orders WHERE order_date &gt; CURRENT_DATE; — confirm with source system first</t>
        </is>
      </c>
      <c r="N5" s="2" t="inlineStr"/>
      <c r="O5" s="2" t="inlineStr">
        <is>
          <t>Open</t>
        </is>
      </c>
      <c r="P5" s="2" t="inlineStr"/>
    </row>
    <row r="6">
      <c r="A6" s="2" t="inlineStr">
        <is>
          <t>DQ-005</t>
        </is>
      </c>
      <c r="B6" s="2" t="inlineStr">
        <is>
          <t>2024-03-02</t>
        </is>
      </c>
      <c r="C6" s="2" t="inlineStr">
        <is>
          <t>orders</t>
        </is>
      </c>
      <c r="D6" s="2" t="inlineStr">
        <is>
          <t>order_date</t>
        </is>
      </c>
      <c r="E6" s="2" t="inlineStr">
        <is>
          <t>Impossible Value</t>
        </is>
      </c>
      <c r="F6" s="2" t="inlineStr">
        <is>
          <t>Date before business founded</t>
        </is>
      </c>
      <c r="G6" s="2" t="inlineStr">
        <is>
          <t>1987-01-01</t>
        </is>
      </c>
      <c r="H6" s="2" t="inlineStr">
        <is>
          <t>3</t>
        </is>
      </c>
      <c r="I6" s="2" t="inlineStr">
        <is>
          <t>52300</t>
        </is>
      </c>
      <c r="J6" s="2">
        <f>C10/D10 → 0.01%</f>
        <v/>
      </c>
      <c r="K6" s="2" t="inlineStr">
        <is>
          <t>High</t>
        </is>
      </c>
      <c r="L6" s="2" t="inlineStr">
        <is>
          <t>SELECT * FROM orders WHERE order_date &lt; '2005-01-01';</t>
        </is>
      </c>
      <c r="M6" s="2" t="inlineStr">
        <is>
          <t>Flag for manual review; set to NULL pending source confirmation</t>
        </is>
      </c>
      <c r="N6" s="2" t="inlineStr"/>
      <c r="O6" s="2" t="inlineStr">
        <is>
          <t>Open</t>
        </is>
      </c>
      <c r="P6" s="2" t="inlineStr"/>
    </row>
    <row r="7">
      <c r="A7" s="2" t="inlineStr">
        <is>
          <t>DQ-006</t>
        </is>
      </c>
      <c r="B7" s="2" t="inlineStr">
        <is>
          <t>2024-03-03</t>
        </is>
      </c>
      <c r="C7" s="2" t="inlineStr">
        <is>
          <t>products</t>
        </is>
      </c>
      <c r="D7" s="2" t="inlineStr">
        <is>
          <t>category</t>
        </is>
      </c>
      <c r="E7" s="2" t="inlineStr">
        <is>
          <t>Inconsistent Formatting</t>
        </is>
      </c>
      <c r="F7" s="2" t="inlineStr">
        <is>
          <t>Mixed case / spelling variants</t>
        </is>
      </c>
      <c r="G7" s="2" t="inlineStr">
        <is>
          <t>'electronics', 'Electronics', 'ELECTRONICS'</t>
        </is>
      </c>
      <c r="H7" s="2" t="inlineStr">
        <is>
          <t>1203</t>
        </is>
      </c>
      <c r="I7" s="2" t="inlineStr">
        <is>
          <t>9800</t>
        </is>
      </c>
      <c r="J7" s="2">
        <f>C11/D11 → 12.27%</f>
        <v/>
      </c>
      <c r="K7" s="2" t="inlineStr">
        <is>
          <t>Medium</t>
        </is>
      </c>
      <c r="L7" s="2" t="inlineStr">
        <is>
          <t>SELECT DISTINCT category FROM products ORDER BY category;</t>
        </is>
      </c>
      <c r="M7" s="2" t="inlineStr">
        <is>
          <t>UPDATE products SET category = INITCAP(LOWER(TRIM(category)));</t>
        </is>
      </c>
      <c r="N7" s="2" t="inlineStr">
        <is>
          <t>2024-03-06</t>
        </is>
      </c>
      <c r="O7" s="2" t="inlineStr">
        <is>
          <t>Resolved</t>
        </is>
      </c>
      <c r="P7" s="2" t="inlineStr">
        <is>
          <t>M. Svensson</t>
        </is>
      </c>
    </row>
    <row r="8">
      <c r="A8" s="2" t="inlineStr">
        <is>
          <t>DQ-007</t>
        </is>
      </c>
      <c r="B8" s="2" t="inlineStr">
        <is>
          <t>2024-03-03</t>
        </is>
      </c>
      <c r="C8" s="2" t="inlineStr">
        <is>
          <t>products</t>
        </is>
      </c>
      <c r="D8" s="2" t="inlineStr">
        <is>
          <t>price</t>
        </is>
      </c>
      <c r="E8" s="2" t="inlineStr">
        <is>
          <t>Outlier / Impossible Value</t>
        </is>
      </c>
      <c r="F8" s="2" t="inlineStr">
        <is>
          <t>Statistical outlier (&gt; 3 SD from mean)</t>
        </is>
      </c>
      <c r="G8" s="2" t="inlineStr">
        <is>
          <t>999999.00</t>
        </is>
      </c>
      <c r="H8" s="2" t="inlineStr">
        <is>
          <t>5</t>
        </is>
      </c>
      <c r="I8" s="2" t="inlineStr">
        <is>
          <t>9800</t>
        </is>
      </c>
      <c r="J8" s="2">
        <f>C12/D12 → 0.05%</f>
        <v/>
      </c>
      <c r="K8" s="2" t="inlineStr">
        <is>
          <t>Medium</t>
        </is>
      </c>
      <c r="L8" s="2" t="inlineStr">
        <is>
          <t>SELECT * FROM products WHERE price &gt; (SELECT AVG(price) + 3 * STDDEV(price) FROM products);</t>
        </is>
      </c>
      <c r="M8" s="2" t="inlineStr">
        <is>
          <t>Review with pricing team; correct or remove erroneous entries</t>
        </is>
      </c>
      <c r="N8" s="2" t="inlineStr">
        <is>
          <t>2024-03-07</t>
        </is>
      </c>
      <c r="O8" s="2" t="inlineStr">
        <is>
          <t>Resolved</t>
        </is>
      </c>
      <c r="P8" s="2" t="inlineStr">
        <is>
          <t>M. Svensson</t>
        </is>
      </c>
    </row>
    <row r="9">
      <c r="A9" s="2" t="inlineStr">
        <is>
          <t>DQ-008</t>
        </is>
      </c>
      <c r="B9" s="2" t="inlineStr">
        <is>
          <t>2024-03-03</t>
        </is>
      </c>
      <c r="C9" s="2" t="inlineStr">
        <is>
          <t>products</t>
        </is>
      </c>
      <c r="D9" s="2" t="inlineStr">
        <is>
          <t>price</t>
        </is>
      </c>
      <c r="E9" s="2" t="inlineStr">
        <is>
          <t>Outlier / Impossible Value</t>
        </is>
      </c>
      <c r="F9" s="2" t="inlineStr">
        <is>
          <t>Zero or negative price</t>
        </is>
      </c>
      <c r="G9" s="2" t="inlineStr">
        <is>
          <t>0.00</t>
        </is>
      </c>
      <c r="H9" s="2" t="inlineStr">
        <is>
          <t>11</t>
        </is>
      </c>
      <c r="I9" s="2" t="inlineStr">
        <is>
          <t>9800</t>
        </is>
      </c>
      <c r="J9" s="2">
        <f>C13/D13 → 0.11%</f>
        <v/>
      </c>
      <c r="K9" s="2" t="inlineStr">
        <is>
          <t>High</t>
        </is>
      </c>
      <c r="L9" s="2" t="inlineStr">
        <is>
          <t>SELECT * FROM products WHERE price &lt;= 0;</t>
        </is>
      </c>
      <c r="M9" s="2" t="inlineStr">
        <is>
          <t>UPDATE products SET price = NULL WHERE price &lt;= 0; — escalate to catalogue team</t>
        </is>
      </c>
      <c r="N9" s="2" t="inlineStr"/>
      <c r="O9" s="2" t="inlineStr">
        <is>
          <t>Open</t>
        </is>
      </c>
      <c r="P9" s="2" t="inlineStr"/>
    </row>
    <row r="10">
      <c r="A10" s="2" t="inlineStr">
        <is>
          <t>DQ-009</t>
        </is>
      </c>
      <c r="B10" s="2" t="inlineStr">
        <is>
          <t>2024-03-04</t>
        </is>
      </c>
      <c r="C10" s="2" t="inlineStr">
        <is>
          <t>customers</t>
        </is>
      </c>
      <c r="D10" s="2" t="inlineStr">
        <is>
          <t>customer_id</t>
        </is>
      </c>
      <c r="E10" s="2" t="inlineStr">
        <is>
          <t>Duplicate Record</t>
        </is>
      </c>
      <c r="F10" s="2" t="inlineStr">
        <is>
          <t>Exact duplicate primary key</t>
        </is>
      </c>
      <c r="G10" s="2" t="inlineStr">
        <is>
          <t>10042</t>
        </is>
      </c>
      <c r="H10" s="2" t="inlineStr">
        <is>
          <t>28</t>
        </is>
      </c>
      <c r="I10" s="2" t="inlineStr">
        <is>
          <t>18500</t>
        </is>
      </c>
      <c r="J10" s="2">
        <f>C14/D14 → 0.15%</f>
        <v/>
      </c>
      <c r="K10" s="2" t="inlineStr">
        <is>
          <t>High</t>
        </is>
      </c>
      <c r="L10" s="2" t="inlineStr">
        <is>
          <t>SELECT customer_id, COUNT() FROM customers GROUP BY customer_id HAVING COUNT() &gt; 1;</t>
        </is>
      </c>
      <c r="M10" s="2" t="inlineStr">
        <is>
          <t>Use ROW_NUMBER() PARTITION BY customer_id ORDER BY created_at DESC; retain latest row, delete earlier duplicates</t>
        </is>
      </c>
      <c r="N10" s="2" t="inlineStr"/>
      <c r="O10" s="2" t="inlineStr">
        <is>
          <t>Open</t>
        </is>
      </c>
      <c r="P10" s="2" t="inlineStr"/>
    </row>
    <row r="11">
      <c r="A11" s="2" t="inlineStr">
        <is>
          <t>DQ-010</t>
        </is>
      </c>
      <c r="B11" s="2" t="inlineStr">
        <is>
          <t>2024-03-04</t>
        </is>
      </c>
      <c r="C11" s="2" t="inlineStr">
        <is>
          <t>customers</t>
        </is>
      </c>
      <c r="D11" s="2" t="inlineStr">
        <is>
          <t>(full row)</t>
        </is>
      </c>
      <c r="E11" s="2" t="inlineStr">
        <is>
          <t>Duplicate Record</t>
        </is>
      </c>
      <c r="F11" s="2" t="inlineStr">
        <is>
          <t>Near-duplicate (same name + address, different ID)</t>
        </is>
      </c>
      <c r="G11" s="2" t="inlineStr">
        <is>
          <t>Jane Smith / 14 Elm St appearing twice</t>
        </is>
      </c>
      <c r="H11" s="2" t="inlineStr">
        <is>
          <t>62</t>
        </is>
      </c>
      <c r="I11" s="2" t="inlineStr">
        <is>
          <t>18500</t>
        </is>
      </c>
      <c r="J11" s="2">
        <f>C15/D15 → 0.34%</f>
        <v/>
      </c>
      <c r="K11" s="2" t="inlineStr">
        <is>
          <t>Medium</t>
        </is>
      </c>
      <c r="L11" s="2" t="inlineStr">
        <is>
          <t>SELECT name, address, COUNT() FROM customers GROUP BY name, address HAVING COUNT() &gt; 1;</t>
        </is>
      </c>
      <c r="M11" s="2" t="inlineStr">
        <is>
          <t>Merge records; keep lowest customer_id as canonical; update foreign keys accordingly</t>
        </is>
      </c>
      <c r="N11" s="2" t="inlineStr"/>
      <c r="O11" s="2" t="inlineStr">
        <is>
          <t>Open</t>
        </is>
      </c>
      <c r="P11" s="2" t="inlineStr"/>
    </row>
    <row r="12">
      <c r="A12" s="2" t="inlineStr">
        <is>
          <t>DQ-011</t>
        </is>
      </c>
      <c r="B12" s="2" t="inlineStr">
        <is>
          <t>2024-03-05</t>
        </is>
      </c>
      <c r="C12" s="2" t="inlineStr">
        <is>
          <t>employees</t>
        </is>
      </c>
      <c r="D12" s="2" t="inlineStr">
        <is>
          <t>department</t>
        </is>
      </c>
      <c r="E12" s="2" t="inlineStr">
        <is>
          <t>NULL / Blank</t>
        </is>
      </c>
      <c r="F12" s="2" t="inlineStr">
        <is>
          <t>Placeholder string</t>
        </is>
      </c>
      <c r="G12" s="2" t="inlineStr">
        <is>
          <t>'N/A', 'TBD', 'none'</t>
        </is>
      </c>
      <c r="H12" s="2" t="inlineStr">
        <is>
          <t>74</t>
        </is>
      </c>
      <c r="I12" s="2" t="inlineStr">
        <is>
          <t>3200</t>
        </is>
      </c>
      <c r="J12" s="2">
        <f>C16/D16 → 2.31%</f>
        <v/>
      </c>
      <c r="K12" s="2" t="inlineStr">
        <is>
          <t>Low</t>
        </is>
      </c>
      <c r="L12" s="2" t="inlineStr">
        <is>
          <t>SELECT * FROM employees WHERE LOWER(TRIM(department)) IN ('n/a','tbd','none','');</t>
        </is>
      </c>
      <c r="M12" s="2" t="inlineStr">
        <is>
          <t>UPDATE employees SET department = NULL WHERE LOWER(TRIM(department)) IN ('n/a','tbd','none');</t>
        </is>
      </c>
      <c r="N12" s="2" t="inlineStr">
        <is>
          <t>2024-03-08</t>
        </is>
      </c>
      <c r="O12" s="2" t="inlineStr">
        <is>
          <t>Resolved</t>
        </is>
      </c>
      <c r="P12" s="2" t="inlineStr">
        <is>
          <t>T. Nguyen</t>
        </is>
      </c>
    </row>
    <row r="13">
      <c r="A13" s="2" t="inlineStr">
        <is>
          <t>DQ-012</t>
        </is>
      </c>
      <c r="B13" s="2" t="inlineStr">
        <is>
          <t>2024-03-05</t>
        </is>
      </c>
      <c r="C13" s="2" t="inlineStr">
        <is>
          <t>order_items</t>
        </is>
      </c>
      <c r="D13" s="2" t="inlineStr">
        <is>
          <t>quantity</t>
        </is>
      </c>
      <c r="E13" s="2" t="inlineStr">
        <is>
          <t>Outlier / Impossible Value</t>
        </is>
      </c>
      <c r="F13" s="2" t="inlineStr">
        <is>
          <t>Negative quantity</t>
        </is>
      </c>
      <c r="G13" s="2" t="inlineStr">
        <is>
          <t>-3</t>
        </is>
      </c>
      <c r="H13" s="2" t="inlineStr">
        <is>
          <t>7</t>
        </is>
      </c>
      <c r="I13" s="2" t="inlineStr">
        <is>
          <t>148000</t>
        </is>
      </c>
      <c r="J13" s="2">
        <f>C17/D17 → 0.00%</f>
        <v/>
      </c>
      <c r="K13" s="2" t="inlineStr">
        <is>
          <t>High</t>
        </is>
      </c>
      <c r="L13" s="2" t="inlineStr">
        <is>
          <t>SELECT * FROM order_items WHERE quantity &lt; 1;</t>
        </is>
      </c>
      <c r="M13" s="2" t="inlineStr">
        <is>
          <t>Investigate; likely data entry error — correct to absolute value or remove</t>
        </is>
      </c>
      <c r="N13" s="2" t="inlineStr"/>
      <c r="O13" s="2" t="inlineStr">
        <is>
          <t>Open</t>
        </is>
      </c>
      <c r="P13" s="2" t="inlineStr"/>
    </row>
    <row r="14">
      <c r="A14" s="2" t="inlineStr">
        <is>
          <t>DQ-013</t>
        </is>
      </c>
      <c r="B14" s="2" t="inlineStr">
        <is>
          <t>2024-03-06</t>
        </is>
      </c>
      <c r="C14" s="2" t="inlineStr">
        <is>
          <t>customers</t>
        </is>
      </c>
      <c r="D14" s="2" t="inlineStr">
        <is>
          <t>country</t>
        </is>
      </c>
      <c r="E14" s="2" t="inlineStr">
        <is>
          <t>Inconsistent Formatting</t>
        </is>
      </c>
      <c r="F14" s="2" t="inlineStr">
        <is>
          <t>Non-standard country codes / free text</t>
        </is>
      </c>
      <c r="G14" s="2" t="inlineStr">
        <is>
          <t>'USA', 'United States', 'US', 'U.S.A'</t>
        </is>
      </c>
      <c r="H14" s="2" t="inlineStr">
        <is>
          <t>890</t>
        </is>
      </c>
      <c r="I14" s="2" t="inlineStr">
        <is>
          <t>18500</t>
        </is>
      </c>
      <c r="J14" s="2">
        <f>C18/D18 → 4.81%</f>
        <v/>
      </c>
      <c r="K14" s="2" t="inlineStr">
        <is>
          <t>Medium</t>
        </is>
      </c>
      <c r="L14" s="2" t="inlineStr">
        <is>
          <t>SELECT DISTINCT country FROM customers ORDER BY country;</t>
        </is>
      </c>
      <c r="M14" s="2" t="inlineStr">
        <is>
          <t>UPDATE customers SET country = CASE WHEN country IN ('USA','U.S.A','United States') THEN 'US' … END; using CASE WHEN</t>
        </is>
      </c>
      <c r="N14" s="2" t="inlineStr">
        <is>
          <t>2024-03-09</t>
        </is>
      </c>
      <c r="O14" s="2" t="inlineStr">
        <is>
          <t>Resolved</t>
        </is>
      </c>
      <c r="P14" s="2" t="inlineStr">
        <is>
          <t>J. Okafor</t>
        </is>
      </c>
    </row>
    <row r="15">
      <c r="A15" s="2" t="inlineStr">
        <is>
          <t>DQ-014</t>
        </is>
      </c>
      <c r="B15" s="2" t="inlineStr">
        <is>
          <t>2024-03-06</t>
        </is>
      </c>
      <c r="C15" s="2" t="inlineStr">
        <is>
          <t>orders</t>
        </is>
      </c>
      <c r="D15" s="2" t="inlineStr">
        <is>
          <t>total_amount</t>
        </is>
      </c>
      <c r="E15" s="2" t="inlineStr">
        <is>
          <t>NULL / Blank</t>
        </is>
      </c>
      <c r="F15" s="2" t="inlineStr">
        <is>
          <t>NULL in non-nullable business field</t>
        </is>
      </c>
      <c r="G15" s="2" t="inlineStr">
        <is>
          <t>NULL</t>
        </is>
      </c>
      <c r="H15" s="2" t="inlineStr">
        <is>
          <t>53</t>
        </is>
      </c>
      <c r="I15" s="2" t="inlineStr">
        <is>
          <t>52300</t>
        </is>
      </c>
      <c r="J15" s="2">
        <f>C19/D19 → 0.10%</f>
        <v/>
      </c>
      <c r="K15" s="2" t="inlineStr">
        <is>
          <t>High</t>
        </is>
      </c>
      <c r="L15" s="2" t="inlineStr">
        <is>
          <t>SELECT * FROM orders WHERE total_amount IS NULL;</t>
        </is>
      </c>
      <c r="M15" s="2" t="inlineStr">
        <is>
          <t>Recalculate from order_items: UPDATE orders o SET total_amount = (SELECT SUM(price * quantity) FROM order_items oi WHERE oi.order_id = o.id) WHERE total_amount IS NULL;</t>
        </is>
      </c>
      <c r="N15" s="2" t="inlineStr"/>
      <c r="O15" s="2" t="inlineStr">
        <is>
          <t>Open</t>
        </is>
      </c>
      <c r="P15" s="2" t="inlineStr"/>
    </row>
    <row r="16">
      <c r="A16" s="2" t="inlineStr">
        <is>
          <t>DQ-015</t>
        </is>
      </c>
      <c r="B16" s="2" t="inlineStr">
        <is>
          <t>2024-03-07</t>
        </is>
      </c>
      <c r="C16" s="2" t="inlineStr">
        <is>
          <t>order_items</t>
        </is>
      </c>
      <c r="D16" s="2" t="inlineStr">
        <is>
          <t>product_id</t>
        </is>
      </c>
      <c r="E16" s="2" t="inlineStr">
        <is>
          <t>Referential Integrity</t>
        </is>
      </c>
      <c r="F16" s="2" t="inlineStr">
        <is>
          <t>Orphaned foreign key — product deleted</t>
        </is>
      </c>
      <c r="G16" s="2" t="inlineStr">
        <is>
          <t>58821</t>
        </is>
      </c>
      <c r="H16" s="2" t="inlineStr">
        <is>
          <t>19</t>
        </is>
      </c>
      <c r="I16" s="2" t="inlineStr">
        <is>
          <t>148000</t>
        </is>
      </c>
      <c r="J16" s="2">
        <f>C20/D20 → 0.01%</f>
        <v/>
      </c>
      <c r="K16" s="2" t="inlineStr">
        <is>
          <t>High</t>
        </is>
      </c>
      <c r="L16" s="2" t="inlineStr">
        <is>
          <t>SELECT oi.product_id FROM order_items oi LEFT JOIN products p ON oi.product_id = p.id WHERE p.id IS NULL;</t>
        </is>
      </c>
      <c r="M16" s="2" t="inlineStr">
        <is>
          <t>Archive orphaned rows to audit table; remove from active order_items after sign-off</t>
        </is>
      </c>
      <c r="N16" s="2" t="inlineStr"/>
      <c r="O16" s="2" t="inlineStr">
        <is>
          <t>Open</t>
        </is>
      </c>
      <c r="P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60" customWidth="1" min="3" max="3"/>
    <col width="60" customWidth="1" min="4" max="4"/>
    <col width="55" customWidth="1" min="5" max="5"/>
  </cols>
  <sheetData>
    <row r="1">
      <c r="A1" s="1" t="inlineStr">
        <is>
          <t>Category Code</t>
        </is>
      </c>
      <c r="B1" s="1" t="inlineStr">
        <is>
          <t>Category Label</t>
        </is>
      </c>
      <c r="C1" s="1" t="inlineStr">
        <is>
          <t>Chapter 14 Section</t>
        </is>
      </c>
      <c r="D1" s="1" t="inlineStr">
        <is>
          <t>Typical Detection Method</t>
        </is>
      </c>
      <c r="E1" s="1" t="inlineStr">
        <is>
          <t>Common SQL Functions Used</t>
        </is>
      </c>
    </row>
    <row r="2">
      <c r="A2" s="2" t="inlineStr">
        <is>
          <t>CAT-01</t>
        </is>
      </c>
      <c r="B2" s="2" t="inlineStr">
        <is>
          <t>NULL / Blank</t>
        </is>
      </c>
      <c r="C2" s="2" t="inlineStr">
        <is>
          <t>Detecting Nulls, Blanks, and Placeholder Values Across a Dataset</t>
        </is>
      </c>
      <c r="D2" s="2" t="inlineStr">
        <is>
          <t>IS NULL, TRIM() = '', LOWER() IN ('n/a','tbd')</t>
        </is>
      </c>
      <c r="E2" s="2" t="inlineStr">
        <is>
          <t>IS NULL, IS NOT NULL, TRIM, LOWER, COALESCE</t>
        </is>
      </c>
    </row>
    <row r="3">
      <c r="A3" s="2" t="inlineStr">
        <is>
          <t>CAT-02</t>
        </is>
      </c>
      <c r="B3" s="2" t="inlineStr">
        <is>
          <t>Duplicate Record</t>
        </is>
      </c>
      <c r="C3" s="2" t="inlineStr">
        <is>
          <t>Finding and Handling Duplicates With ROW_NUMBER and Deduplication Queries</t>
        </is>
      </c>
      <c r="D3" s="2" t="inlineStr">
        <is>
          <t>GROUP BY + HAVING COUNT(*) &gt; 1; ROW_NUMBER() PARTITION BY</t>
        </is>
      </c>
      <c r="E3" s="2" t="inlineStr">
        <is>
          <t>ROW_NUMBER(), PARTITION BY, GROUP BY, HAVING, COUNT</t>
        </is>
      </c>
    </row>
    <row r="4">
      <c r="A4" s="2" t="inlineStr">
        <is>
          <t>CAT-03</t>
        </is>
      </c>
      <c r="B4" s="2" t="inlineStr">
        <is>
          <t>Outlier / Impossible Value</t>
        </is>
      </c>
      <c r="C4" s="2" t="inlineStr">
        <is>
          <t>Identifying Outliers and Impossible Values With Statistical Filters</t>
        </is>
      </c>
      <c r="D4" s="2" t="inlineStr">
        <is>
          <t>Compare to AVG ± N×STDDEV; check for negatives, zeros, future dates</t>
        </is>
      </c>
      <c r="E4" s="2" t="inlineStr">
        <is>
          <t>AVG, STDDEV, MIN, MAX, BETWEEN, CURRENT_DATE</t>
        </is>
      </c>
    </row>
    <row r="5">
      <c r="A5" s="2" t="inlineStr">
        <is>
          <t>CAT-04</t>
        </is>
      </c>
      <c r="B5" s="2" t="inlineStr">
        <is>
          <t>Inconsistent Formatting</t>
        </is>
      </c>
      <c r="C5" s="2" t="inlineStr">
        <is>
          <t>Standardising Inconsistent Categories Using CASE WHEN and String Functions</t>
        </is>
      </c>
      <c r="D5" s="2" t="inlineStr">
        <is>
          <t>DISTINCT audit; LOWER/UPPER/TRIM comparison</t>
        </is>
      </c>
      <c r="E5" s="2" t="inlineStr">
        <is>
          <t>CASE WHEN, LOWER, UPPER, TRIM, REPLACE, INITCAP</t>
        </is>
      </c>
    </row>
    <row r="6">
      <c r="A6" s="2" t="inlineStr">
        <is>
          <t>CAT-05</t>
        </is>
      </c>
      <c r="B6" s="2" t="inlineStr">
        <is>
          <t>Referential Integrity</t>
        </is>
      </c>
      <c r="C6" s="2" t="inlineStr">
        <is>
          <t>Auditing Referential Integrity: Orphaned Records and Broken Foreign Keys</t>
        </is>
      </c>
      <c r="D6" s="2" t="inlineStr">
        <is>
          <t>LEFT JOIN … WHERE right-side key IS NULL</t>
        </is>
      </c>
      <c r="E6" s="2" t="inlineStr">
        <is>
          <t>LEFT JOIN, IS NULL, NOT IN, NOT EXISTS</t>
        </is>
      </c>
    </row>
    <row r="7">
      <c r="A7" s="2" t="inlineStr">
        <is>
          <t>CAT-06</t>
        </is>
      </c>
      <c r="B7" s="2" t="inlineStr">
        <is>
          <t>Impossible Date</t>
        </is>
      </c>
      <c r="C7" s="2" t="inlineStr">
        <is>
          <t>Identifying Outliers and Impossible Values With Statistical Filters</t>
        </is>
      </c>
      <c r="D7" s="2" t="inlineStr">
        <is>
          <t>Compare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2026-07-04T05:24:35Z</dcterms:created>
  <dcterms:modified xmlns:dcterms="http://purl.org/dc/terms/" xmlns:xsi="http://www.w3.org/2001/XMLSchema-instance" xsi:type="dcterms:W3CDTF">2026-07-04T05:24:35Z</dcterms:modified>
</cp:coreProperties>
</file>