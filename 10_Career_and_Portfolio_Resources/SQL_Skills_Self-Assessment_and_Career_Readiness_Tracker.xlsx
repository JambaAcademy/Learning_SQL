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Concepts Self-Rating Matrix" sheetId="1" state="visible" r:id="rId1"/>
    <sheet xmlns:r="http://schemas.openxmlformats.org/officeDocument/2006/relationships" name="12-Week Spaced Repetition Revie" sheetId="2" state="visible" r:id="rId2"/>
    <sheet xmlns:r="http://schemas.openxmlformats.org/officeDocument/2006/relationships" name="Career Readiness Indicator D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264D"/>
    </font>
  </fonts>
  <fills count="3">
    <fill>
      <patternFill/>
    </fill>
    <fill>
      <patternFill patternType="gray125"/>
    </fill>
    <fill>
      <patternFill patternType="solid">
        <fgColor rgb="00EAEF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34" customWidth="1" min="4" max="4"/>
    <col width="23" customWidth="1" min="5" max="5"/>
    <col width="23" customWidth="1" min="6" max="6"/>
    <col width="23" customWidth="1" min="7" max="7"/>
    <col width="21" customWidth="1" min="8" max="8"/>
    <col width="19" customWidth="1" min="9" max="9"/>
    <col width="35" customWidth="1" min="10" max="10"/>
    <col width="20" customWidth="1" min="11" max="11"/>
  </cols>
  <sheetData>
    <row r="1">
      <c r="A1" s="1" t="inlineStr">
        <is>
          <t>Skill ID</t>
        </is>
      </c>
      <c r="B1" s="1" t="inlineStr">
        <is>
          <t>Book Chapter</t>
        </is>
      </c>
      <c r="C1" s="1" t="inlineStr">
        <is>
          <t>SQL Concept / Topic</t>
        </is>
      </c>
      <c r="D1" s="1" t="inlineStr">
        <is>
          <t>Cognitive Layer (Ch.1 Pyramid)</t>
        </is>
      </c>
      <c r="E1" s="1" t="inlineStr">
        <is>
          <t>My Confidence (1–5)</t>
        </is>
      </c>
      <c r="F1" s="1" t="inlineStr">
        <is>
          <t>Last Practiced Date</t>
        </is>
      </c>
      <c r="G1" s="1" t="inlineStr">
        <is>
          <t>Days Since Practice</t>
        </is>
      </c>
      <c r="H1" s="1" t="inlineStr">
        <is>
          <t>Spaced Rep Status</t>
        </is>
      </c>
      <c r="I1" s="1" t="inlineStr">
        <is>
          <t>Next Review Due</t>
        </is>
      </c>
      <c r="J1" s="1" t="inlineStr">
        <is>
          <t>Entry-Level Analyst Requirement</t>
        </is>
      </c>
      <c r="K1" s="1" t="inlineStr">
        <is>
          <t>Gap to Job-Ready</t>
        </is>
      </c>
    </row>
    <row r="2">
      <c r="A2" s="2" t="inlineStr">
        <is>
          <t>SK-01</t>
        </is>
      </c>
      <c r="B2" s="2" t="inlineStr">
        <is>
          <t>Ch. 1</t>
        </is>
      </c>
      <c r="C2" s="2" t="inlineStr">
        <is>
          <t>Understanding the forgetting curve and why passive reading fails</t>
        </is>
      </c>
      <c r="D2" s="2" t="inlineStr">
        <is>
          <t>Foundation</t>
        </is>
      </c>
      <c r="E2" s="2" t="inlineStr">
        <is>
          <t>4</t>
        </is>
      </c>
      <c r="F2" s="2" t="inlineStr">
        <is>
          <t>2024-11-01</t>
        </is>
      </c>
      <c r="G2" s="2">
        <f>TODAY()-B6</f>
        <v/>
      </c>
      <c r="H2" s="2" t="inlineStr">
        <is>
          <t>On Track</t>
        </is>
      </c>
      <c r="I2" s="2">
        <f>B6+7</f>
        <v/>
      </c>
      <c r="J2" s="2" t="inlineStr">
        <is>
          <t>Awareness</t>
        </is>
      </c>
      <c r="K2" s="2" t="inlineStr">
        <is>
          <t>Low</t>
        </is>
      </c>
    </row>
    <row r="3">
      <c r="A3" s="2" t="inlineStr">
        <is>
          <t>SK-02</t>
        </is>
      </c>
      <c r="B3" s="2" t="inlineStr">
        <is>
          <t>Ch. 2</t>
        </is>
      </c>
      <c r="C3" s="2" t="inlineStr">
        <is>
          <t>SELECT, FROM, WHERE basics</t>
        </is>
      </c>
      <c r="D3" s="2" t="inlineStr">
        <is>
          <t>Foundation</t>
        </is>
      </c>
      <c r="E3" s="2" t="inlineStr">
        <is>
          <t>5</t>
        </is>
      </c>
      <c r="F3" s="2" t="inlineStr">
        <is>
          <t>2024-11-03</t>
        </is>
      </c>
      <c r="G3" s="2">
        <f>TODAY()-B7</f>
        <v/>
      </c>
      <c r="H3" s="2" t="inlineStr">
        <is>
          <t>On Track</t>
        </is>
      </c>
      <c r="I3" s="2">
        <f>B7+14</f>
        <v/>
      </c>
      <c r="J3" s="2" t="inlineStr">
        <is>
          <t>Essential</t>
        </is>
      </c>
      <c r="K3" s="2" t="inlineStr">
        <is>
          <t>None</t>
        </is>
      </c>
    </row>
    <row r="4">
      <c r="A4" s="2" t="inlineStr">
        <is>
          <t>SK-03</t>
        </is>
      </c>
      <c r="B4" s="2" t="inlineStr">
        <is>
          <t>Ch. 3</t>
        </is>
      </c>
      <c r="C4" s="2" t="inlineStr">
        <is>
          <t>Filtering with AND, OR, NOT, IN, BETWEEN</t>
        </is>
      </c>
      <c r="D4" s="2" t="inlineStr">
        <is>
          <t>Foundation</t>
        </is>
      </c>
      <c r="E4" s="2" t="inlineStr">
        <is>
          <t>4</t>
        </is>
      </c>
      <c r="F4" s="2" t="inlineStr">
        <is>
          <t>2024-10-28</t>
        </is>
      </c>
      <c r="G4" s="2">
        <f>TODAY()-B8</f>
        <v/>
      </c>
      <c r="H4" s="2" t="inlineStr">
        <is>
          <t>Overdue</t>
        </is>
      </c>
      <c r="I4" s="2">
        <f>B8+7</f>
        <v/>
      </c>
      <c r="J4" s="2" t="inlineStr">
        <is>
          <t>Essential</t>
        </is>
      </c>
      <c r="K4" s="2" t="inlineStr">
        <is>
          <t>Low</t>
        </is>
      </c>
    </row>
    <row r="5">
      <c r="A5" s="2" t="inlineStr">
        <is>
          <t>SK-04</t>
        </is>
      </c>
      <c r="B5" s="2" t="inlineStr">
        <is>
          <t>Ch. 4</t>
        </is>
      </c>
      <c r="C5" s="2" t="inlineStr">
        <is>
          <t>ORDER BY, LIMIT, DISTINCT</t>
        </is>
      </c>
      <c r="D5" s="2" t="inlineStr">
        <is>
          <t>Foundation</t>
        </is>
      </c>
      <c r="E5" s="2" t="inlineStr">
        <is>
          <t>3</t>
        </is>
      </c>
      <c r="F5" s="2" t="inlineStr">
        <is>
          <t>2024-10-20</t>
        </is>
      </c>
      <c r="G5" s="2">
        <f>TODAY()-B9</f>
        <v/>
      </c>
      <c r="H5" s="2" t="inlineStr">
        <is>
          <t>Overdue</t>
        </is>
      </c>
      <c r="I5" s="2">
        <f>B9+7</f>
        <v/>
      </c>
      <c r="J5" s="2" t="inlineStr">
        <is>
          <t>Essential</t>
        </is>
      </c>
      <c r="K5" s="2" t="inlineStr">
        <is>
          <t>Medium</t>
        </is>
      </c>
    </row>
    <row r="6">
      <c r="A6" s="2" t="inlineStr">
        <is>
          <t>SK-05</t>
        </is>
      </c>
      <c r="B6" s="2" t="inlineStr">
        <is>
          <t>Ch. 5</t>
        </is>
      </c>
      <c r="C6" s="2" t="inlineStr">
        <is>
          <t>Aggregate functions: COUNT, SUM, AVG, MIN, MAX</t>
        </is>
      </c>
      <c r="D6" s="2" t="inlineStr">
        <is>
          <t>Intermediate</t>
        </is>
      </c>
      <c r="E6" s="2" t="inlineStr">
        <is>
          <t>3</t>
        </is>
      </c>
      <c r="F6" s="2" t="inlineStr">
        <is>
          <t>2024-10-25</t>
        </is>
      </c>
      <c r="G6" s="2">
        <f>TODAY()-B10</f>
        <v/>
      </c>
      <c r="H6" s="2" t="inlineStr">
        <is>
          <t>Overdue</t>
        </is>
      </c>
      <c r="I6" s="2">
        <f>B10+14</f>
        <v/>
      </c>
      <c r="J6" s="2" t="inlineStr">
        <is>
          <t>Essential</t>
        </is>
      </c>
      <c r="K6" s="2" t="inlineStr">
        <is>
          <t>Medium</t>
        </is>
      </c>
    </row>
    <row r="7">
      <c r="A7" s="2" t="inlineStr">
        <is>
          <t>SK-06</t>
        </is>
      </c>
      <c r="B7" s="2" t="inlineStr">
        <is>
          <t>Ch. 6</t>
        </is>
      </c>
      <c r="C7" s="2" t="inlineStr">
        <is>
          <t>GROUP BY and HAVING</t>
        </is>
      </c>
      <c r="D7" s="2" t="inlineStr">
        <is>
          <t>Intermediate</t>
        </is>
      </c>
      <c r="E7" s="2" t="inlineStr">
        <is>
          <t>2</t>
        </is>
      </c>
      <c r="F7" s="2" t="inlineStr">
        <is>
          <t>2024-10-15</t>
        </is>
      </c>
      <c r="G7" s="2">
        <f>TODAY()-B11</f>
        <v/>
      </c>
      <c r="H7" s="2" t="inlineStr">
        <is>
          <t>Critical</t>
        </is>
      </c>
      <c r="I7" s="2">
        <f>B11+7</f>
        <v/>
      </c>
      <c r="J7" s="2" t="inlineStr">
        <is>
          <t>Essential</t>
        </is>
      </c>
      <c r="K7" s="2" t="inlineStr">
        <is>
          <t>High</t>
        </is>
      </c>
    </row>
    <row r="8">
      <c r="A8" s="2" t="inlineStr">
        <is>
          <t>SK-07</t>
        </is>
      </c>
      <c r="B8" s="2" t="inlineStr">
        <is>
          <t>Ch. 7</t>
        </is>
      </c>
      <c r="C8" s="2" t="inlineStr">
        <is>
          <t>INNER JOIN, LEFT JOIN, RIGHT JOIN, FULL OUTER JOIN</t>
        </is>
      </c>
      <c r="D8" s="2" t="inlineStr">
        <is>
          <t>Intermediate</t>
        </is>
      </c>
      <c r="E8" s="2" t="inlineStr">
        <is>
          <t>2</t>
        </is>
      </c>
      <c r="F8" s="2" t="inlineStr">
        <is>
          <t>2024-10-10</t>
        </is>
      </c>
      <c r="G8" s="2">
        <f>TODAY()-B12</f>
        <v/>
      </c>
      <c r="H8" s="2" t="inlineStr">
        <is>
          <t>Critical</t>
        </is>
      </c>
      <c r="I8" s="2">
        <f>B12+7</f>
        <v/>
      </c>
      <c r="J8" s="2" t="inlineStr">
        <is>
          <t>Essential</t>
        </is>
      </c>
      <c r="K8" s="2" t="inlineStr">
        <is>
          <t>High</t>
        </is>
      </c>
    </row>
    <row r="9">
      <c r="A9" s="2" t="inlineStr">
        <is>
          <t>SK-08</t>
        </is>
      </c>
      <c r="B9" s="2" t="inlineStr">
        <is>
          <t>Ch. 8</t>
        </is>
      </c>
      <c r="C9" s="2" t="inlineStr">
        <is>
          <t>Subqueries and nested SELECT statements</t>
        </is>
      </c>
      <c r="D9" s="2" t="inlineStr">
        <is>
          <t>Advanced</t>
        </is>
      </c>
      <c r="E9" s="2" t="inlineStr">
        <is>
          <t>2</t>
        </is>
      </c>
      <c r="F9" s="2" t="inlineStr">
        <is>
          <t>2024-10-05</t>
        </is>
      </c>
      <c r="G9" s="2">
        <f>TODAY()-B13</f>
        <v/>
      </c>
      <c r="H9" s="2" t="inlineStr">
        <is>
          <t>Critical</t>
        </is>
      </c>
      <c r="I9" s="2">
        <f>B13+14</f>
        <v/>
      </c>
      <c r="J9" s="2" t="inlineStr">
        <is>
          <t>Important</t>
        </is>
      </c>
      <c r="K9" s="2" t="inlineStr">
        <is>
          <t>High</t>
        </is>
      </c>
    </row>
    <row r="10">
      <c r="A10" s="2" t="inlineStr">
        <is>
          <t>SK-09</t>
        </is>
      </c>
      <c r="B10" s="2" t="inlineStr">
        <is>
          <t>Ch. 9</t>
        </is>
      </c>
      <c r="C10" s="2" t="inlineStr">
        <is>
          <t>CTEs (WITH clause) and query readability</t>
        </is>
      </c>
      <c r="D10" s="2" t="inlineStr">
        <is>
          <t>Advanced</t>
        </is>
      </c>
      <c r="E10" s="2" t="inlineStr">
        <is>
          <t>1</t>
        </is>
      </c>
      <c r="F10" s="2" t="inlineStr">
        <is>
          <t>2024-09-30</t>
        </is>
      </c>
      <c r="G10" s="2">
        <f>TODAY()-B14</f>
        <v/>
      </c>
      <c r="H10" s="2" t="inlineStr">
        <is>
          <t>Critical</t>
        </is>
      </c>
      <c r="I10" s="2">
        <f>B14+14</f>
        <v/>
      </c>
      <c r="J10" s="2" t="inlineStr">
        <is>
          <t>Important</t>
        </is>
      </c>
      <c r="K10" s="2" t="inlineStr">
        <is>
          <t>Very High</t>
        </is>
      </c>
    </row>
    <row r="11">
      <c r="A11" s="2" t="inlineStr">
        <is>
          <t>SK-10</t>
        </is>
      </c>
      <c r="B11" s="2" t="inlineStr">
        <is>
          <t>Ch. 10</t>
        </is>
      </c>
      <c r="C11" s="2" t="inlineStr">
        <is>
          <t>Window functions: ROW_NUMBER, RANK, PARTITION BY</t>
        </is>
      </c>
      <c r="D11" s="2" t="inlineStr">
        <is>
          <t>Advanced</t>
        </is>
      </c>
      <c r="E11" s="2" t="inlineStr">
        <is>
          <t>1</t>
        </is>
      </c>
      <c r="F11" s="2" t="inlineStr">
        <is>
          <t>2024-09-25</t>
        </is>
      </c>
      <c r="G11" s="2">
        <f>TODAY()-B15</f>
        <v/>
      </c>
      <c r="H11" s="2" t="inlineStr">
        <is>
          <t>Critical</t>
        </is>
      </c>
      <c r="I11" s="2">
        <f>B15+21</f>
        <v/>
      </c>
      <c r="J11" s="2" t="inlineStr">
        <is>
          <t>Desirable</t>
        </is>
      </c>
      <c r="K11" s="2" t="inlineStr">
        <is>
          <t>Very High</t>
        </is>
      </c>
    </row>
    <row r="12">
      <c r="A12" s="2" t="inlineStr">
        <is>
          <t>SK-11</t>
        </is>
      </c>
      <c r="B12" s="2" t="inlineStr">
        <is>
          <t>Ch. 11</t>
        </is>
      </c>
      <c r="C12" s="2" t="inlineStr">
        <is>
          <t>String functions: CONCAT, TRIM, UPPER, SUBSTRING</t>
        </is>
      </c>
      <c r="D12" s="2" t="inlineStr">
        <is>
          <t>Intermediate</t>
        </is>
      </c>
      <c r="E12" s="2" t="inlineStr">
        <is>
          <t>3</t>
        </is>
      </c>
      <c r="F12" s="2" t="inlineStr">
        <is>
          <t>2024-10-22</t>
        </is>
      </c>
      <c r="G12" s="2">
        <f>TODAY()-B16</f>
        <v/>
      </c>
      <c r="H12" s="2" t="inlineStr">
        <is>
          <t>Overdue</t>
        </is>
      </c>
      <c r="I12" s="2">
        <f>B16+14</f>
        <v/>
      </c>
      <c r="J12" s="2" t="inlineStr">
        <is>
          <t>Important</t>
        </is>
      </c>
      <c r="K12" s="2" t="inlineStr">
        <is>
          <t>Medium</t>
        </is>
      </c>
    </row>
    <row r="13">
      <c r="A13" s="2" t="inlineStr">
        <is>
          <t>SK-12</t>
        </is>
      </c>
      <c r="B13" s="2" t="inlineStr">
        <is>
          <t>Ch. 12</t>
        </is>
      </c>
      <c r="C13" s="2" t="inlineStr">
        <is>
          <t>Date and time functions: DATE_DIFF, EXTRACT, DATEADD</t>
        </is>
      </c>
      <c r="D13" s="2" t="inlineStr">
        <is>
          <t>Intermediate</t>
        </is>
      </c>
      <c r="E13" s="2" t="inlineStr">
        <is>
          <t>2</t>
        </is>
      </c>
      <c r="F13" s="2" t="inlineStr">
        <is>
          <t>2024-10-18</t>
        </is>
      </c>
      <c r="G13" s="2">
        <f>TODAY()-B17</f>
        <v/>
      </c>
      <c r="H13" s="2" t="inlineStr">
        <is>
          <t>Critical</t>
        </is>
      </c>
      <c r="I13" s="2">
        <f>B17+14</f>
        <v/>
      </c>
      <c r="J13" s="2" t="inlineStr">
        <is>
          <t>Important</t>
        </is>
      </c>
      <c r="K13" s="2" t="inlineStr">
        <is>
          <t>High</t>
        </is>
      </c>
    </row>
    <row r="14">
      <c r="A14" s="2" t="inlineStr">
        <is>
          <t>SK-13</t>
        </is>
      </c>
      <c r="B14" s="2" t="inlineStr">
        <is>
          <t>Ch. 13</t>
        </is>
      </c>
      <c r="C14" s="2" t="inlineStr">
        <is>
          <t>NULL handling: IS NULL, COALESCE, NULLIF</t>
        </is>
      </c>
      <c r="D14" s="2" t="inlineStr">
        <is>
          <t>Intermediate</t>
        </is>
      </c>
      <c r="E14" s="2" t="inlineStr">
        <is>
          <t>3</t>
        </is>
      </c>
      <c r="F14" s="2" t="inlineStr">
        <is>
          <t>2024-10-26</t>
        </is>
      </c>
      <c r="G14" s="2">
        <f>TODAY()-B18</f>
        <v/>
      </c>
      <c r="H14" s="2" t="inlineStr">
        <is>
          <t>Overdue</t>
        </is>
      </c>
      <c r="I14" s="2">
        <f>B18+7</f>
        <v/>
      </c>
      <c r="J14" s="2" t="inlineStr">
        <is>
          <t>Essential</t>
        </is>
      </c>
      <c r="K14" s="2" t="inlineStr">
        <is>
          <t>Medium</t>
        </is>
      </c>
    </row>
    <row r="15">
      <c r="A15" s="2" t="inlineStr">
        <is>
          <t>SK-14</t>
        </is>
      </c>
      <c r="B15" s="2" t="inlineStr">
        <is>
          <t>Ch. 14</t>
        </is>
      </c>
      <c r="C15" s="2" t="inlineStr">
        <is>
          <t>Data cleaning with real messy datasets (production SQL)</t>
        </is>
      </c>
      <c r="D15" s="2" t="inlineStr">
        <is>
          <t>Advanced</t>
        </is>
      </c>
      <c r="E15" s="2" t="inlineStr">
        <is>
          <t>1</t>
        </is>
      </c>
      <c r="F15" s="2" t="inlineStr">
        <is>
          <t>2024-09-20</t>
        </is>
      </c>
      <c r="G15" s="2">
        <f>TODAY()-B19</f>
        <v/>
      </c>
      <c r="H15" s="2" t="inlineStr">
        <is>
          <t>Critical</t>
        </is>
      </c>
      <c r="I15" s="2">
        <f>B19+14</f>
        <v/>
      </c>
      <c r="J15" s="2" t="inlineStr">
        <is>
          <t>Essential</t>
        </is>
      </c>
      <c r="K15" s="2" t="inlineStr">
        <is>
          <t>Very High</t>
        </is>
      </c>
    </row>
    <row r="16">
      <c r="A16" s="2" t="inlineStr">
        <is>
          <t>SK-15</t>
        </is>
      </c>
      <c r="B16" s="2" t="inlineStr">
        <is>
          <t>Ch. 15</t>
        </is>
      </c>
      <c r="C16" s="2" t="inlineStr">
        <is>
          <t>Query optimisation: indexes, execution plans, avoiding SELECT *</t>
        </is>
      </c>
      <c r="D16" s="2" t="inlineStr">
        <is>
          <t>Advanced</t>
        </is>
      </c>
      <c r="E16" s="2" t="inlineStr">
        <is>
          <t>1</t>
        </is>
      </c>
      <c r="F16" s="2" t="inlineStr">
        <is>
          <t>2024-09-15</t>
        </is>
      </c>
      <c r="G16" s="2">
        <f>TODAY()-B20</f>
        <v/>
      </c>
      <c r="H16" s="2" t="inlineStr">
        <is>
          <t>Critical</t>
        </is>
      </c>
      <c r="I16" s="2">
        <f>B20+21</f>
        <v/>
      </c>
      <c r="J16" s="2" t="inlineStr">
        <is>
          <t>Desirable</t>
        </is>
      </c>
      <c r="K16" s="2" t="inlineStr">
        <is>
          <t>Very High</t>
        </is>
      </c>
    </row>
    <row r="17">
      <c r="A17" s="2" t="inlineStr">
        <is>
          <t>SK-16</t>
        </is>
      </c>
      <c r="B17" s="2" t="inlineStr">
        <is>
          <t>Ch. 16</t>
        </is>
      </c>
      <c r="C17" s="2" t="inlineStr">
        <is>
          <t>Portfolio project documentation and public dataset analysis</t>
        </is>
      </c>
      <c r="D17" s="2" t="inlineStr">
        <is>
          <t>Practitioner</t>
        </is>
      </c>
      <c r="E17" s="2" t="inlineStr">
        <is>
          <t>1</t>
        </is>
      </c>
      <c r="F17" s="2" t="inlineStr">
        <is>
          <t>2024-09-10</t>
        </is>
      </c>
      <c r="G17" s="2">
        <f>TODAY()-B21</f>
        <v/>
      </c>
      <c r="H17" s="2" t="inlineStr">
        <is>
          <t>Critical</t>
        </is>
      </c>
      <c r="I17" s="2">
        <f>B21+7</f>
        <v/>
      </c>
      <c r="J17" s="2" t="inlineStr">
        <is>
          <t>Essential</t>
        </is>
      </c>
      <c r="K17" s="2" t="inlineStr">
        <is>
          <t>Very High</t>
        </is>
      </c>
    </row>
    <row r="18">
      <c r="A18" s="2" t="inlineStr">
        <is>
          <t>SK-17</t>
        </is>
      </c>
      <c r="B18" s="2" t="inlineStr">
        <is>
          <t>Ch. 16</t>
        </is>
      </c>
      <c r="C18" s="2" t="inlineStr">
        <is>
          <t>Five SQL interview question types (verbal response prep)</t>
        </is>
      </c>
      <c r="D18" s="2" t="inlineStr">
        <is>
          <t>Practitioner</t>
        </is>
      </c>
      <c r="E18" s="2" t="inlineStr">
        <is>
          <t>2</t>
        </is>
      </c>
      <c r="F18" s="2" t="inlineStr">
        <is>
          <t>2024-10-01</t>
        </is>
      </c>
      <c r="G18" s="2">
        <f>TODAY()-B22</f>
        <v/>
      </c>
      <c r="H18" s="2" t="inlineStr">
        <is>
          <t>Critical</t>
        </is>
      </c>
      <c r="I18" s="2">
        <f>B22+7</f>
        <v/>
      </c>
      <c r="J18" s="2" t="inlineStr">
        <is>
          <t>Essential</t>
        </is>
      </c>
      <c r="K18" s="2" t="inlineStr">
        <is>
          <t>High</t>
        </is>
      </c>
    </row>
    <row r="19">
      <c r="A19" s="2" t="inlineStr">
        <is>
          <t>SK-18</t>
        </is>
      </c>
      <c r="B19" s="2" t="inlineStr">
        <is>
          <t>Ch. 16</t>
        </is>
      </c>
      <c r="C19" s="2" t="inlineStr">
        <is>
          <t>Stakeholder clarifying questions and business communication</t>
        </is>
      </c>
      <c r="D19" s="2" t="inlineStr">
        <is>
          <t>Practitioner</t>
        </is>
      </c>
      <c r="E19" s="2" t="inlineStr">
        <is>
          <t>1</t>
        </is>
      </c>
      <c r="F19" s="2" t="inlineStr">
        <is>
          <t>2024-09-28</t>
        </is>
      </c>
      <c r="G19" s="2">
        <f>TODAY()-B23</f>
        <v/>
      </c>
      <c r="H19" s="2" t="inlineStr">
        <is>
          <t>Critical</t>
        </is>
      </c>
      <c r="I19" s="2">
        <f>B23+7</f>
        <v/>
      </c>
      <c r="J19" s="2" t="inlineStr">
        <is>
          <t>Essential</t>
        </is>
      </c>
      <c r="K19" s="2" t="inlineStr">
        <is>
          <t>Very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29" customWidth="1" min="4" max="4"/>
    <col width="60" customWidth="1" min="5" max="5"/>
    <col width="60" customWidth="1" min="6" max="6"/>
    <col width="24" customWidth="1" min="7" max="7"/>
    <col width="21" customWidth="1" min="8" max="8"/>
    <col width="21" customWidth="1" min="9" max="9"/>
    <col width="20" customWidth="1" min="10" max="10"/>
    <col width="60" customWidth="1" min="11" max="11"/>
  </cols>
  <sheetData>
    <row r="1">
      <c r="A1" s="1" t="inlineStr">
        <is>
          <t>Week</t>
        </is>
      </c>
      <c r="B1" s="1" t="inlineStr">
        <is>
          <t>Review Window</t>
        </is>
      </c>
      <c r="C1" s="1" t="inlineStr">
        <is>
          <t>Focus Skill IDs</t>
        </is>
      </c>
      <c r="D1" s="1" t="inlineStr">
        <is>
          <t>Cognitive Layer Focus</t>
        </is>
      </c>
      <c r="E1" s="1" t="inlineStr">
        <is>
          <t>Review Activity Type</t>
        </is>
      </c>
      <c r="F1" s="1" t="inlineStr">
        <is>
          <t>Active Recall Method</t>
        </is>
      </c>
      <c r="G1" s="1" t="inlineStr">
        <is>
          <t>Estimated Time (min)</t>
        </is>
      </c>
      <c r="H1" s="1" t="inlineStr">
        <is>
          <t>Completion Status</t>
        </is>
      </c>
      <c r="I1" s="1" t="inlineStr">
        <is>
          <t>Confidence Before</t>
        </is>
      </c>
      <c r="J1" s="1" t="inlineStr">
        <is>
          <t>Confidence After</t>
        </is>
      </c>
      <c r="K1" s="1" t="inlineStr">
        <is>
          <t>Notes / Blockers</t>
        </is>
      </c>
    </row>
    <row r="2">
      <c r="A2" s="2" t="inlineStr">
        <is>
          <t>Week 1</t>
        </is>
      </c>
      <c r="B2" s="2" t="inlineStr">
        <is>
          <t>Days 1–7</t>
        </is>
      </c>
      <c r="C2" s="2" t="inlineStr">
        <is>
          <t>SK-01, SK-02, SK-03</t>
        </is>
      </c>
      <c r="D2" s="2" t="inlineStr">
        <is>
          <t>Foundation</t>
        </is>
      </c>
      <c r="E2" s="2" t="inlineStr">
        <is>
          <t>Write queries from memory without reference</t>
        </is>
      </c>
      <c r="F2" s="2" t="inlineStr">
        <is>
          <t>Close laptop, write SELECT/WHERE from scratch</t>
        </is>
      </c>
      <c r="G2" s="2" t="inlineStr">
        <is>
          <t>45</t>
        </is>
      </c>
      <c r="H2" s="2" t="inlineStr">
        <is>
          <t>Complete</t>
        </is>
      </c>
      <c r="I2" s="2" t="inlineStr">
        <is>
          <t>3</t>
        </is>
      </c>
      <c r="J2" s="2" t="inlineStr">
        <is>
          <t>4</t>
        </is>
      </c>
      <c r="K2" s="2" t="inlineStr">
        <is>
          <t>Forgetting curve highest here — do not skip</t>
        </is>
      </c>
    </row>
    <row r="3">
      <c r="A3" s="2" t="inlineStr">
        <is>
          <t>Week 2</t>
        </is>
      </c>
      <c r="B3" s="2" t="inlineStr">
        <is>
          <t>Days 8–14</t>
        </is>
      </c>
      <c r="C3" s="2" t="inlineStr">
        <is>
          <t>SK-04, SK-05, SK-02 (re-review)</t>
        </is>
      </c>
      <c r="D3" s="2" t="inlineStr">
        <is>
          <t>Foundation + Intermediate</t>
        </is>
      </c>
      <c r="E3" s="2" t="inlineStr">
        <is>
          <t>Build a small dataset query end-to-end</t>
        </is>
      </c>
      <c r="F3" s="2" t="inlineStr">
        <is>
          <t>Reproduce last week's queries without notes</t>
        </is>
      </c>
      <c r="G3" s="2" t="inlineStr">
        <is>
          <t>60</t>
        </is>
      </c>
      <c r="H3" s="2" t="inlineStr">
        <is>
          <t>Complete</t>
        </is>
      </c>
      <c r="I3" s="2" t="inlineStr">
        <is>
          <t>3</t>
        </is>
      </c>
      <c r="J3" s="2" t="inlineStr">
        <is>
          <t>4</t>
        </is>
      </c>
      <c r="K3" s="2" t="inlineStr">
        <is>
          <t>Re-review SK-02 to reinforce pyramid base</t>
        </is>
      </c>
    </row>
    <row r="4">
      <c r="A4" s="2" t="inlineStr">
        <is>
          <t>Week 3</t>
        </is>
      </c>
      <c r="B4" s="2" t="inlineStr">
        <is>
          <t>Days 15–21</t>
        </is>
      </c>
      <c r="C4" s="2" t="inlineStr">
        <is>
          <t>SK-06, SK-07</t>
        </is>
      </c>
      <c r="D4" s="2" t="inlineStr">
        <is>
          <t>Intermediate</t>
        </is>
      </c>
      <c r="E4" s="2" t="inlineStr">
        <is>
          <t>Write GROUP BY + JOIN queries on a real CSV dataset</t>
        </is>
      </c>
      <c r="F4" s="2" t="inlineStr">
        <is>
          <t>Explain each JOIN type aloud before writing</t>
        </is>
      </c>
      <c r="G4" s="2" t="inlineStr">
        <is>
          <t>75</t>
        </is>
      </c>
      <c r="H4" s="2" t="inlineStr">
        <is>
          <t>In Progress</t>
        </is>
      </c>
      <c r="I4" s="2" t="inlineStr">
        <is>
          <t>2</t>
        </is>
      </c>
      <c r="J4" s="2" t="inlineStr">
        <is>
          <t>—</t>
        </is>
      </c>
      <c r="K4" s="2" t="inlineStr">
        <is>
          <t>JOINs are the #1 interview test area (Ch.16)</t>
        </is>
      </c>
    </row>
    <row r="5">
      <c r="A5" s="2" t="inlineStr">
        <is>
          <t>Week 4</t>
        </is>
      </c>
      <c r="B5" s="2" t="inlineStr">
        <is>
          <t>Days 22–28</t>
        </is>
      </c>
      <c r="C5" s="2" t="inlineStr">
        <is>
          <t>SK-08, SK-03 (re-review), SK-13</t>
        </is>
      </c>
      <c r="D5" s="2" t="inlineStr">
        <is>
          <t>Intermediate + Advanced</t>
        </is>
      </c>
      <c r="E5" s="2" t="inlineStr">
        <is>
          <t>Subquery rewrite challenge: replace JOINs with subqueries</t>
        </is>
      </c>
      <c r="F5" s="2" t="inlineStr">
        <is>
          <t>Flashcard drill on NULL edge cases</t>
        </is>
      </c>
      <c r="G5" s="2" t="inlineStr">
        <is>
          <t>60</t>
        </is>
      </c>
      <c r="H5" s="2" t="inlineStr">
        <is>
          <t>Not Started</t>
        </is>
      </c>
      <c r="I5" s="2" t="inlineStr">
        <is>
          <t>2</t>
        </is>
      </c>
      <c r="J5" s="2" t="inlineStr">
        <is>
          <t>—</t>
        </is>
      </c>
      <c r="K5" s="2" t="inlineStr">
        <is>
          <t>NULL handling appears in production SQL daily</t>
        </is>
      </c>
    </row>
    <row r="6">
      <c r="A6" s="2" t="inlineStr">
        <is>
          <t>Week 5</t>
        </is>
      </c>
      <c r="B6" s="2" t="inlineStr">
        <is>
          <t>Days 29–35</t>
        </is>
      </c>
      <c r="C6" s="2" t="inlineStr">
        <is>
          <t>SK-09, SK-10</t>
        </is>
      </c>
      <c r="D6" s="2" t="inlineStr">
        <is>
          <t>Advanced</t>
        </is>
      </c>
      <c r="E6" s="2" t="inlineStr">
        <is>
          <t>Refactor a messy query into a CTE; add a window function</t>
        </is>
      </c>
      <c r="F6" s="2" t="inlineStr">
        <is>
          <t>Teach the concept back to yourself on paper</t>
        </is>
      </c>
      <c r="G6" s="2" t="inlineStr">
        <is>
          <t>90</t>
        </is>
      </c>
      <c r="H6" s="2" t="inlineStr">
        <is>
          <t>Not Started</t>
        </is>
      </c>
      <c r="I6" s="2" t="inlineStr">
        <is>
          <t>1</t>
        </is>
      </c>
      <c r="J6" s="2" t="inlineStr">
        <is>
          <t>—</t>
        </is>
      </c>
      <c r="K6" s="2" t="inlineStr">
        <is>
          <t>Highest cognitive load week — space sessions</t>
        </is>
      </c>
    </row>
    <row r="7">
      <c r="A7" s="2" t="inlineStr">
        <is>
          <t>Week 6</t>
        </is>
      </c>
      <c r="B7" s="2" t="inlineStr">
        <is>
          <t>Days 36–42</t>
        </is>
      </c>
      <c r="C7" s="2" t="inlineStr">
        <is>
          <t>SK-11, SK-12, SK-05 (re-review)</t>
        </is>
      </c>
      <c r="D7" s="2" t="inlineStr">
        <is>
          <t>Intermediate</t>
        </is>
      </c>
      <c r="E7" s="2" t="inlineStr">
        <is>
          <t>Build a date-range sales analysis query from scratch</t>
        </is>
      </c>
      <c r="F7" s="2" t="inlineStr">
        <is>
          <t>No autocomplete — type every function manually</t>
        </is>
      </c>
      <c r="G7" s="2" t="inlineStr">
        <is>
          <t>60</t>
        </is>
      </c>
      <c r="H7" s="2" t="inlineStr">
        <is>
          <t>Not Started</t>
        </is>
      </c>
      <c r="I7" s="2" t="inlineStr">
        <is>
          <t>2</t>
        </is>
      </c>
      <c r="J7" s="2" t="inlineStr">
        <is>
          <t>—</t>
        </is>
      </c>
      <c r="K7" s="2" t="inlineStr">
        <is>
          <t>Date functions vary by DB; note dialect differences</t>
        </is>
      </c>
    </row>
    <row r="8">
      <c r="A8" s="2" t="inlineStr">
        <is>
          <t>Week 7</t>
        </is>
      </c>
      <c r="B8" s="2" t="inlineStr">
        <is>
          <t>Days 43–49</t>
        </is>
      </c>
      <c r="C8" s="2" t="inlineStr">
        <is>
          <t>SK-14, SK-13 (re-review)</t>
        </is>
      </c>
      <c r="D8" s="2" t="inlineStr">
        <is>
          <t>Advanced</t>
        </is>
      </c>
      <c r="E8" s="2" t="inlineStr">
        <is>
          <t>Clean a real messy public dataset (Kaggle or data.gov)</t>
        </is>
      </c>
      <c r="F8" s="2" t="inlineStr">
        <is>
          <t>Document every cleaning decision in comments</t>
        </is>
      </c>
      <c r="G8" s="2" t="inlineStr">
        <is>
          <t>90</t>
        </is>
      </c>
      <c r="H8" s="2" t="inlineStr">
        <is>
          <t>Not Started</t>
        </is>
      </c>
      <c r="I8" s="2" t="inlineStr">
        <is>
          <t>1</t>
        </is>
      </c>
      <c r="J8" s="2" t="inlineStr">
        <is>
          <t>—</t>
        </is>
      </c>
      <c r="K8" s="2" t="inlineStr">
        <is>
          <t>Mirrors production SQL reality described in Ch.16</t>
        </is>
      </c>
    </row>
    <row r="9">
      <c r="A9" s="2" t="inlineStr">
        <is>
          <t>Week 8</t>
        </is>
      </c>
      <c r="B9" s="2" t="inlineStr">
        <is>
          <t>Days 50–56</t>
        </is>
      </c>
      <c r="C9" s="2" t="inlineStr">
        <is>
          <t>SK-15, SK-07 (re-review)</t>
        </is>
      </c>
      <c r="D9" s="2" t="inlineStr">
        <is>
          <t>Advanced</t>
        </is>
      </c>
      <c r="E9" s="2" t="inlineStr">
        <is>
          <t>Rewrite a slow query; examine execution plan</t>
        </is>
      </c>
      <c r="F9" s="2" t="inlineStr">
        <is>
          <t>Explain why SELECT * is harmful without notes</t>
        </is>
      </c>
      <c r="G9" s="2" t="inlineStr">
        <is>
          <t>75</t>
        </is>
      </c>
      <c r="H9" s="2" t="inlineStr">
        <is>
          <t>Not Started</t>
        </is>
      </c>
      <c r="I9" s="2" t="inlineStr">
        <is>
          <t>1</t>
        </is>
      </c>
      <c r="J9" s="2" t="inlineStr">
        <is>
          <t>—</t>
        </is>
      </c>
      <c r="K9" s="2" t="inlineStr">
        <is>
          <t>Optimisation questions appear in senior interviews</t>
        </is>
      </c>
    </row>
    <row r="10">
      <c r="A10" s="2" t="inlineStr">
        <is>
          <t>Week 9</t>
        </is>
      </c>
      <c r="B10" s="2" t="inlineStr">
        <is>
          <t>Days 57–63</t>
        </is>
      </c>
      <c r="C10" s="2" t="inlineStr">
        <is>
          <t>SK-16 (portfolio)</t>
        </is>
      </c>
      <c r="D10" s="2" t="inlineStr">
        <is>
          <t>Practitioner</t>
        </is>
      </c>
      <c r="E10" s="2" t="inlineStr">
        <is>
          <t>Publish one documented project to GitHub with README</t>
        </is>
      </c>
      <c r="F10" s="2" t="inlineStr">
        <is>
          <t>Peer review: would a hiring manager understand this?</t>
        </is>
      </c>
      <c r="G10" s="2" t="inlineStr">
        <is>
          <t>120</t>
        </is>
      </c>
      <c r="H10" s="2" t="inlineStr">
        <is>
          <t>Not Started</t>
        </is>
      </c>
      <c r="I10" s="2" t="inlineStr">
        <is>
          <t>1</t>
        </is>
      </c>
      <c r="J10" s="2" t="inlineStr">
        <is>
          <t>—</t>
        </is>
      </c>
      <c r="K10" s="2" t="inlineStr">
        <is>
          <t>Portfolio is proof of thinking, not just syntax (Ch.16)</t>
        </is>
      </c>
    </row>
    <row r="11">
      <c r="A11" s="2" t="inlineStr">
        <is>
          <t>Week 10</t>
        </is>
      </c>
      <c r="B11" s="2" t="inlineStr">
        <is>
          <t>Days 64–70</t>
        </is>
      </c>
      <c r="C11" s="2" t="inlineStr">
        <is>
          <t>SK-17 (interview prep)</t>
        </is>
      </c>
      <c r="D11" s="2" t="inlineStr">
        <is>
          <t>Practitioner</t>
        </is>
      </c>
      <c r="E11" s="2" t="inlineStr">
        <is>
          <t>Drill all five interview question types with timed verbal answers</t>
        </is>
      </c>
      <c r="F11" s="2" t="inlineStr">
        <is>
          <t>Record yourself answering; review for clarity</t>
        </is>
      </c>
      <c r="G11" s="2" t="inlineStr">
        <is>
          <t>90</t>
        </is>
      </c>
      <c r="H11" s="2" t="inlineStr">
        <is>
          <t>Not Started</t>
        </is>
      </c>
      <c r="I11" s="2" t="inlineStr">
        <is>
          <t>2</t>
        </is>
      </c>
      <c r="J11" s="2" t="inlineStr">
        <is>
          <t>—</t>
        </is>
      </c>
      <c r="K11" s="2" t="inlineStr">
        <is>
          <t>Use STAR format for behavioural SQL questions</t>
        </is>
      </c>
    </row>
    <row r="12">
      <c r="A12" s="2" t="inlineStr">
        <is>
          <t>Week 11</t>
        </is>
      </c>
      <c r="B12" s="2" t="inlineStr">
        <is>
          <t>Days 71–77</t>
        </is>
      </c>
      <c r="C12" s="2" t="inlineStr">
        <is>
          <t>SK-18 (stakeholder comms), SK-09 (re-review)</t>
        </is>
      </c>
      <c r="D12" s="2" t="inlineStr">
        <is>
          <t>Practitioner</t>
        </is>
      </c>
      <c r="E12" s="2" t="inlineStr">
        <is>
          <t>Role-play a stakeholder clarifying-questions conversation</t>
        </is>
      </c>
      <c r="F12" s="2" t="inlineStr">
        <is>
          <t>Write three business questions you would ask before querying</t>
        </is>
      </c>
      <c r="G12" s="2" t="inlineStr">
        <is>
          <t>60</t>
        </is>
      </c>
      <c r="H12" s="2" t="inlineStr">
        <is>
          <t>Not Started</t>
        </is>
      </c>
      <c r="I12" s="2" t="inlineStr">
        <is>
          <t>1</t>
        </is>
      </c>
      <c r="J12" s="2" t="inlineStr">
        <is>
          <t>—</t>
        </is>
      </c>
      <c r="K12" s="2" t="inlineStr">
        <is>
          <t>Asking right questions separates analysts from order-takers</t>
        </is>
      </c>
    </row>
    <row r="13">
      <c r="A13" s="2" t="inlineStr">
        <is>
          <t>Week 12</t>
        </is>
      </c>
      <c r="B13" s="2" t="inlineStr">
        <is>
          <t>Days 78–84</t>
        </is>
      </c>
      <c r="C13" s="2" t="inlineStr">
        <is>
          <t>SK-01 through SK-18 (full sweep)</t>
        </is>
      </c>
      <c r="D13" s="2" t="inlineStr">
        <is>
          <t>All Layers</t>
        </is>
      </c>
      <c r="E13" s="2" t="inlineStr">
        <is>
          <t>End-to-end capstone: answer a business question with SQL, clean output, document analysis</t>
        </is>
      </c>
      <c r="F13" s="2" t="inlineStr">
        <is>
          <t>Present findings as if to a non-technical manager</t>
        </is>
      </c>
      <c r="G13" s="2" t="inlineStr">
        <is>
          <t>180</t>
        </is>
      </c>
      <c r="H13" s="2" t="inlineStr">
        <is>
          <t>Not Started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Completion = entry-level readiness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1" customWidth="1" min="2" max="2"/>
    <col width="22" customWidth="1" min="3" max="3"/>
    <col width="28" customWidth="1" min="4" max="4"/>
    <col width="35" customWidth="1" min="5" max="5"/>
    <col width="60" customWidth="1" min="6" max="6"/>
    <col width="55" customWidth="1" min="7" max="7"/>
    <col width="12" customWidth="1" min="8" max="8"/>
  </cols>
  <sheetData>
    <row r="1">
      <c r="A1" s="1" t="inlineStr">
        <is>
          <t>Readiness Dimension</t>
        </is>
      </c>
      <c r="B1" s="1" t="inlineStr">
        <is>
          <t>Measured By</t>
        </is>
      </c>
      <c r="C1" s="1" t="inlineStr">
        <is>
          <t>Your Current Score</t>
        </is>
      </c>
      <c r="D1" s="1" t="inlineStr">
        <is>
          <t>Target Score (Job-Ready)</t>
        </is>
      </c>
      <c r="E1" s="1" t="inlineStr">
        <is>
          <t>Status</t>
        </is>
      </c>
      <c r="F1" s="1" t="inlineStr">
        <is>
          <t>Evidence Required</t>
        </is>
      </c>
      <c r="G1" s="1" t="inlineStr">
        <is>
          <t>Recommended Action</t>
        </is>
      </c>
      <c r="H1" s="1" t="inlineStr">
        <is>
          <t>Priority</t>
        </is>
      </c>
    </row>
    <row r="2">
      <c r="A2" s="2" t="inlineStr">
        <is>
          <t>Foundation SQL Fluency (SK-01–SK-04)</t>
        </is>
      </c>
      <c r="B2" s="2" t="inlineStr">
        <is>
          <t>Average confidence rating across SK-01 to SK-04</t>
        </is>
      </c>
      <c r="C2" s="2">
        <f>AVERAGE(C2:C5)</f>
        <v/>
      </c>
      <c r="D2" s="2" t="inlineStr">
        <is>
          <t>≥ 4.0</t>
        </is>
      </c>
      <c r="E2" s="2">
        <f>IF(C2&gt;=4,"Ready","Needs Work")</f>
        <v/>
      </c>
      <c r="F2" s="2" t="inlineStr">
        <is>
          <t>Can write SELECT, WHERE, ORDER BY from memory in under 2 min</t>
        </is>
      </c>
      <c r="G2" s="2" t="inlineStr">
        <is>
          <t>Repeat Week 1–2 spaced rep sessions until score ≥ 4</t>
        </is>
      </c>
      <c r="H2" s="2" t="inlineStr">
        <is>
          <t>Critical</t>
        </is>
      </c>
    </row>
    <row r="3">
      <c r="A3" s="2" t="inlineStr">
        <is>
          <t>Aggregation and Grouping (SK-05–SK-06)</t>
        </is>
      </c>
      <c r="B3" s="2" t="inlineStr">
        <is>
          <t>Average confidence rating across SK-05 to SK-06</t>
        </is>
      </c>
      <c r="C3" s="2">
        <f>AVERAGE(C6:C7)</f>
        <v/>
      </c>
      <c r="D3" s="2" t="inlineStr">
        <is>
          <t>≥ 4.0</t>
        </is>
      </c>
      <c r="E3" s="2">
        <f>IF(AVERAGE(C6:C7)&gt;=4,"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2026-07-04T05:30:16Z</dcterms:created>
  <dcterms:modified xmlns:dcterms="http://purl.org/dc/terms/" xmlns:xsi="http://www.w3.org/2001/XMLSchema-instance" xsi:type="dcterms:W3CDTF">2026-07-04T05:30:16Z</dcterms:modified>
</cp:coreProperties>
</file>